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365D"/>
      <sz val="14"/>
    </font>
    <font>
      <name val="Arial"/>
      <sz val="10"/>
    </font>
    <font>
      <name val="Arial"/>
      <b val="1"/>
      <color rgb="001A365D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4" borderId="2" pivotButton="0" quotePrefix="0" xfId="0"/>
    <xf numFmtId="3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 de la Supervision des VMs</a:t>
            </a:r>
          </a:p>
        </rich>
      </tx>
    </title>
    <plotArea>
      <pieChart>
        <varyColors val="1"/>
        <ser>
          <idx val="0"/>
          <order val="0"/>
          <tx>
            <strRef>
              <f>'Synthèse'!B3</f>
            </strRef>
          </tx>
          <spPr>
            <a:ln>
              <a:prstDash val="solid"/>
            </a:ln>
          </spPr>
          <cat>
            <numRef>
              <f>'Synthèse'!$A$4:$A$6</f>
            </numRef>
          </cat>
          <val>
            <numRef>
              <f>'Synthèse'!$B$4:$B$6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5" customWidth="1" min="3" max="3"/>
  </cols>
  <sheetData>
    <row r="1" ht="30" customHeight="1">
      <c r="A1" s="1" t="inlineStr">
        <is>
          <t>RAPPORT COMPARATIF DE SUPERVISION DES VMS (VCENTER vs ZABBIX)</t>
        </is>
      </c>
    </row>
    <row r="2"/>
    <row r="3" ht="24" customHeight="1">
      <c r="A3" s="2" t="inlineStr">
        <is>
          <t>Type de Supervision</t>
        </is>
      </c>
      <c r="B3" s="2" t="inlineStr">
        <is>
          <t>Nombre de VMs</t>
        </is>
      </c>
      <c r="C3" s="2" t="inlineStr">
        <is>
          <t>Pourcentage</t>
        </is>
      </c>
    </row>
    <row r="4" ht="20" customHeight="1">
      <c r="A4" s="3" t="inlineStr">
        <is>
          <t>Agent Zabbix</t>
        </is>
      </c>
      <c r="B4" s="4">
        <f>COUNTIF(Details!F$2:F$36, "Agent Zabbix")</f>
        <v/>
      </c>
      <c r="C4" s="5">
        <f>B4/B$7</f>
        <v/>
      </c>
    </row>
    <row r="5" ht="20" customHeight="1">
      <c r="A5" s="3" t="inlineStr">
        <is>
          <t>Ping ICMP</t>
        </is>
      </c>
      <c r="B5" s="4">
        <f>COUNTIF(Details!F$2:F$36, "Ping ICMP")</f>
        <v/>
      </c>
      <c r="C5" s="5">
        <f>B5/B$7</f>
        <v/>
      </c>
    </row>
    <row r="6" ht="20" customHeight="1">
      <c r="A6" s="3" t="inlineStr">
        <is>
          <t>Non supervisée</t>
        </is>
      </c>
      <c r="B6" s="4">
        <f>COUNTIF(Details!F$2:F$36, "Non supervisée")</f>
        <v/>
      </c>
      <c r="C6" s="5">
        <f>B6/B$7</f>
        <v/>
      </c>
    </row>
    <row r="7" ht="22" customHeight="1">
      <c r="A7" s="6" t="inlineStr">
        <is>
          <t>Total VMs vCenter</t>
        </is>
      </c>
      <c r="B7" s="7">
        <f>SUM(B4:B6)</f>
        <v/>
      </c>
      <c r="C7" s="8">
        <f>SUM(C4:C6)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2" customWidth="1" min="3" max="3"/>
    <col width="12" customWidth="1" min="4" max="4"/>
    <col width="19" customWidth="1" min="5" max="5"/>
    <col width="29" customWidth="1" min="6" max="6"/>
    <col width="27" customWidth="1" min="7" max="7"/>
    <col width="19" customWidth="1" min="8" max="8"/>
    <col width="37" customWidth="1" min="9" max="9"/>
  </cols>
  <sheetData>
    <row r="1" ht="28" customHeight="1">
      <c r="A1" s="9" t="inlineStr">
        <is>
          <t>Nom VM (vCenter)</t>
        </is>
      </c>
      <c r="B1" s="9" t="inlineStr">
        <is>
          <t>Statut d'Alimentation</t>
        </is>
      </c>
      <c r="C1" s="9" t="inlineStr">
        <is>
          <t>vCPUs</t>
        </is>
      </c>
      <c r="D1" s="9" t="inlineStr">
        <is>
          <t>RAM (Go)</t>
        </is>
      </c>
      <c r="E1" s="9" t="inlineStr">
        <is>
          <t>IP Invité</t>
        </is>
      </c>
      <c r="F1" s="9" t="inlineStr">
        <is>
          <t>Statut Supervision Zabbix</t>
        </is>
      </c>
      <c r="G1" s="9" t="inlineStr">
        <is>
          <t>Nom Hôte Zabbix</t>
        </is>
      </c>
      <c r="H1" s="9" t="inlineStr">
        <is>
          <t>IP(s) Zabbix</t>
        </is>
      </c>
      <c r="I1" s="9" t="inlineStr">
        <is>
          <t>Méthode de Liaison</t>
        </is>
      </c>
    </row>
    <row r="2" ht="18" customHeight="1">
      <c r="A2" s="10" t="inlineStr">
        <is>
          <t>PVKNDCADDS01</t>
        </is>
      </c>
      <c r="B2" s="11" t="inlineStr">
        <is>
          <t>POWERED_OFF</t>
        </is>
      </c>
      <c r="C2" s="12" t="n">
        <v>4</v>
      </c>
      <c r="D2" s="13" t="n">
        <v>32</v>
      </c>
      <c r="E2" s="11" t="inlineStr">
        <is>
          <t>N/A</t>
        </is>
      </c>
      <c r="F2" s="11" t="inlineStr">
        <is>
          <t>Non supervisée</t>
        </is>
      </c>
      <c r="G2" s="10" t="inlineStr">
        <is>
          <t>N/A</t>
        </is>
      </c>
      <c r="H2" s="11" t="inlineStr">
        <is>
          <t>N/A</t>
        </is>
      </c>
      <c r="I2" s="11" t="inlineStr">
        <is>
          <t>N/A</t>
        </is>
      </c>
    </row>
    <row r="3" ht="18" customHeight="1">
      <c r="A3" s="14" t="inlineStr">
        <is>
          <t>PVKNRHLAAP01</t>
        </is>
      </c>
      <c r="B3" s="15" t="inlineStr">
        <is>
          <t>POWERED_ON</t>
        </is>
      </c>
      <c r="C3" s="16" t="n">
        <v>4</v>
      </c>
      <c r="D3" s="17" t="n">
        <v>16</v>
      </c>
      <c r="E3" s="15" t="inlineStr">
        <is>
          <t>192.168.200.231</t>
        </is>
      </c>
      <c r="F3" s="15" t="inlineStr">
        <is>
          <t>Agent Zabbix</t>
        </is>
      </c>
      <c r="G3" s="14" t="inlineStr">
        <is>
          <t>ansible-ap</t>
        </is>
      </c>
      <c r="H3" s="15" t="inlineStr">
        <is>
          <t>192.168.200.231</t>
        </is>
      </c>
      <c r="I3" s="15" t="inlineStr">
        <is>
          <t>Guest IP (192.168.200.231)</t>
        </is>
      </c>
    </row>
    <row r="4" ht="18" customHeight="1">
      <c r="A4" s="10" t="inlineStr">
        <is>
          <t>PVKNRHLSAT01</t>
        </is>
      </c>
      <c r="B4" s="11" t="inlineStr">
        <is>
          <t>POWERED_ON</t>
        </is>
      </c>
      <c r="C4" s="12" t="n">
        <v>4</v>
      </c>
      <c r="D4" s="13" t="n">
        <v>20</v>
      </c>
      <c r="E4" s="11" t="inlineStr">
        <is>
          <t>192.168.13.30</t>
        </is>
      </c>
      <c r="F4" s="11" t="inlineStr">
        <is>
          <t>Non supervisée</t>
        </is>
      </c>
      <c r="G4" s="10" t="inlineStr">
        <is>
          <t>N/A</t>
        </is>
      </c>
      <c r="H4" s="11" t="inlineStr">
        <is>
          <t>N/A</t>
        </is>
      </c>
      <c r="I4" s="11" t="inlineStr">
        <is>
          <t>N/A</t>
        </is>
      </c>
    </row>
    <row r="5" ht="18" customHeight="1">
      <c r="A5" s="14" t="inlineStr">
        <is>
          <t>PVKNVCNAPP01</t>
        </is>
      </c>
      <c r="B5" s="15" t="inlineStr">
        <is>
          <t>POWERED_ON</t>
        </is>
      </c>
      <c r="C5" s="16" t="n">
        <v>8</v>
      </c>
      <c r="D5" s="17" t="n">
        <v>30</v>
      </c>
      <c r="E5" s="15" t="inlineStr">
        <is>
          <t>192.168.13.230</t>
        </is>
      </c>
      <c r="F5" s="15" t="inlineStr">
        <is>
          <t>Non supervisée</t>
        </is>
      </c>
      <c r="G5" s="14" t="inlineStr">
        <is>
          <t>N/A</t>
        </is>
      </c>
      <c r="H5" s="15" t="inlineStr">
        <is>
          <t>N/A</t>
        </is>
      </c>
      <c r="I5" s="15" t="inlineStr">
        <is>
          <t>N/A</t>
        </is>
      </c>
    </row>
    <row r="6" ht="18" customHeight="1">
      <c r="A6" s="10" t="inlineStr">
        <is>
          <t>SKN010PRODSRVCBSAPP13</t>
        </is>
      </c>
      <c r="B6" s="11" t="inlineStr">
        <is>
          <t>POWERED_ON</t>
        </is>
      </c>
      <c r="C6" s="12" t="n">
        <v>16</v>
      </c>
      <c r="D6" s="13" t="n">
        <v>32</v>
      </c>
      <c r="E6" s="11" t="inlineStr">
        <is>
          <t>192.168.201.14</t>
        </is>
      </c>
      <c r="F6" s="11" t="inlineStr">
        <is>
          <t>Ping ICMP</t>
        </is>
      </c>
      <c r="G6" s="10" t="inlineStr">
        <is>
          <t>SKN010PRODSVRCBSAPP13</t>
        </is>
      </c>
      <c r="H6" s="11" t="inlineStr">
        <is>
          <t>192.168.201.14</t>
        </is>
      </c>
      <c r="I6" s="11" t="inlineStr">
        <is>
          <t>Guest IP (192.168.201.14)</t>
        </is>
      </c>
    </row>
    <row r="7" ht="18" customHeight="1">
      <c r="A7" s="14" t="inlineStr">
        <is>
          <t>SKN010PRODSRVCBSBDD12</t>
        </is>
      </c>
      <c r="B7" s="15" t="inlineStr">
        <is>
          <t>POWERED_ON</t>
        </is>
      </c>
      <c r="C7" s="16" t="n">
        <v>8</v>
      </c>
      <c r="D7" s="17" t="n">
        <v>50</v>
      </c>
      <c r="E7" s="15" t="inlineStr">
        <is>
          <t>192.168.201.13</t>
        </is>
      </c>
      <c r="F7" s="15" t="inlineStr">
        <is>
          <t>Ping ICMP</t>
        </is>
      </c>
      <c r="G7" s="14" t="inlineStr">
        <is>
          <t>SKN010PRODSRVCBSBDD12</t>
        </is>
      </c>
      <c r="H7" s="15" t="inlineStr">
        <is>
          <t>192.168.201.13</t>
        </is>
      </c>
      <c r="I7" s="15" t="inlineStr">
        <is>
          <t>VM Name</t>
        </is>
      </c>
    </row>
    <row r="8" ht="18" customHeight="1">
      <c r="A8" s="10" t="inlineStr">
        <is>
          <t>SKN010SRV1K2003</t>
        </is>
      </c>
      <c r="B8" s="11" t="inlineStr">
        <is>
          <t>POWERED_ON</t>
        </is>
      </c>
      <c r="C8" s="12" t="n">
        <v>3</v>
      </c>
      <c r="D8" s="13" t="n">
        <v>7.90625</v>
      </c>
      <c r="E8" s="11" t="inlineStr">
        <is>
          <t>N/A</t>
        </is>
      </c>
      <c r="F8" s="11" t="inlineStr">
        <is>
          <t>Non supervisée</t>
        </is>
      </c>
      <c r="G8" s="10" t="inlineStr">
        <is>
          <t>N/A</t>
        </is>
      </c>
      <c r="H8" s="11" t="inlineStr">
        <is>
          <t>N/A</t>
        </is>
      </c>
      <c r="I8" s="11" t="inlineStr">
        <is>
          <t>N/A</t>
        </is>
      </c>
    </row>
    <row r="9" ht="18" customHeight="1">
      <c r="A9" s="14" t="inlineStr">
        <is>
          <t>SKN010SRV2K3001</t>
        </is>
      </c>
      <c r="B9" s="15" t="inlineStr">
        <is>
          <t>POWERED_ON</t>
        </is>
      </c>
      <c r="C9" s="16" t="n">
        <v>6</v>
      </c>
      <c r="D9" s="17" t="n">
        <v>16</v>
      </c>
      <c r="E9" s="15" t="inlineStr">
        <is>
          <t>N/A</t>
        </is>
      </c>
      <c r="F9" s="15" t="inlineStr">
        <is>
          <t>Non supervisée</t>
        </is>
      </c>
      <c r="G9" s="14" t="inlineStr">
        <is>
          <t>N/A</t>
        </is>
      </c>
      <c r="H9" s="15" t="inlineStr">
        <is>
          <t>N/A</t>
        </is>
      </c>
      <c r="I9" s="15" t="inlineStr">
        <is>
          <t>N/A</t>
        </is>
      </c>
    </row>
    <row r="10" ht="18" customHeight="1">
      <c r="A10" s="10" t="inlineStr">
        <is>
          <t>SKN010SRV2K3002</t>
        </is>
      </c>
      <c r="B10" s="11" t="inlineStr">
        <is>
          <t>POWERED_ON</t>
        </is>
      </c>
      <c r="C10" s="12" t="n">
        <v>6</v>
      </c>
      <c r="D10" s="13" t="n">
        <v>16</v>
      </c>
      <c r="E10" s="11" t="inlineStr">
        <is>
          <t>N/A</t>
        </is>
      </c>
      <c r="F10" s="11" t="inlineStr">
        <is>
          <t>Non supervisée</t>
        </is>
      </c>
      <c r="G10" s="10" t="inlineStr">
        <is>
          <t>N/A</t>
        </is>
      </c>
      <c r="H10" s="11" t="inlineStr">
        <is>
          <t>N/A</t>
        </is>
      </c>
      <c r="I10" s="11" t="inlineStr">
        <is>
          <t>N/A</t>
        </is>
      </c>
    </row>
    <row r="11" ht="18" customHeight="1">
      <c r="A11" s="14" t="inlineStr">
        <is>
          <t>SKN010SRV2K3004</t>
        </is>
      </c>
      <c r="B11" s="15" t="inlineStr">
        <is>
          <t>POWERED_ON</t>
        </is>
      </c>
      <c r="C11" s="16" t="n">
        <v>4</v>
      </c>
      <c r="D11" s="17" t="n">
        <v>16</v>
      </c>
      <c r="E11" s="15" t="inlineStr">
        <is>
          <t>N/A</t>
        </is>
      </c>
      <c r="F11" s="15" t="inlineStr">
        <is>
          <t>Non supervisée</t>
        </is>
      </c>
      <c r="G11" s="14" t="inlineStr">
        <is>
          <t>N/A</t>
        </is>
      </c>
      <c r="H11" s="15" t="inlineStr">
        <is>
          <t>N/A</t>
        </is>
      </c>
      <c r="I11" s="15" t="inlineStr">
        <is>
          <t>N/A</t>
        </is>
      </c>
    </row>
    <row r="12" ht="18" customHeight="1">
      <c r="A12" s="10" t="inlineStr">
        <is>
          <t>SKN010SRVAIFPRODFRONT21</t>
        </is>
      </c>
      <c r="B12" s="11" t="inlineStr">
        <is>
          <t>POWERED_ON</t>
        </is>
      </c>
      <c r="C12" s="12" t="n">
        <v>4</v>
      </c>
      <c r="D12" s="13" t="n">
        <v>16</v>
      </c>
      <c r="E12" s="11" t="inlineStr">
        <is>
          <t>192.168.13.21</t>
        </is>
      </c>
      <c r="F12" s="11" t="inlineStr">
        <is>
          <t>Ping ICMP</t>
        </is>
      </c>
      <c r="G12" s="10" t="inlineStr">
        <is>
          <t>SKN010SRVAIFPRODFRONT21</t>
        </is>
      </c>
      <c r="H12" s="11" t="inlineStr">
        <is>
          <t>192.168.13.21</t>
        </is>
      </c>
      <c r="I12" s="11" t="inlineStr">
        <is>
          <t>VM Name</t>
        </is>
      </c>
    </row>
    <row r="13" ht="18" customHeight="1">
      <c r="A13" s="14" t="inlineStr">
        <is>
          <t>SKN010SRVAPP50</t>
        </is>
      </c>
      <c r="B13" s="15" t="inlineStr">
        <is>
          <t>POWERED_ON</t>
        </is>
      </c>
      <c r="C13" s="16" t="n">
        <v>12</v>
      </c>
      <c r="D13" s="17" t="n">
        <v>40</v>
      </c>
      <c r="E13" s="15" t="inlineStr">
        <is>
          <t>192.168.13.50</t>
        </is>
      </c>
      <c r="F13" s="15" t="inlineStr">
        <is>
          <t>Non supervisée</t>
        </is>
      </c>
      <c r="G13" s="14" t="inlineStr">
        <is>
          <t>N/A</t>
        </is>
      </c>
      <c r="H13" s="15" t="inlineStr">
        <is>
          <t>N/A</t>
        </is>
      </c>
      <c r="I13" s="15" t="inlineStr">
        <is>
          <t>N/A</t>
        </is>
      </c>
    </row>
    <row r="14" ht="18" customHeight="1">
      <c r="A14" s="10" t="inlineStr">
        <is>
          <t>SKN010SRVBD51</t>
        </is>
      </c>
      <c r="B14" s="11" t="inlineStr">
        <is>
          <t>POWERED_ON</t>
        </is>
      </c>
      <c r="C14" s="12" t="n">
        <v>5</v>
      </c>
      <c r="D14" s="13" t="n">
        <v>30</v>
      </c>
      <c r="E14" s="11" t="inlineStr">
        <is>
          <t>192.168.13.51</t>
        </is>
      </c>
      <c r="F14" s="11" t="inlineStr">
        <is>
          <t>Non supervisée</t>
        </is>
      </c>
      <c r="G14" s="10" t="inlineStr">
        <is>
          <t>N/A</t>
        </is>
      </c>
      <c r="H14" s="11" t="inlineStr">
        <is>
          <t>N/A</t>
        </is>
      </c>
      <c r="I14" s="11" t="inlineStr">
        <is>
          <t>N/A</t>
        </is>
      </c>
    </row>
    <row r="15" ht="18" customHeight="1">
      <c r="A15" s="14" t="inlineStr">
        <is>
          <t>SKN010SRVCBSAPP10</t>
        </is>
      </c>
      <c r="B15" s="15" t="inlineStr">
        <is>
          <t>POWERED_ON</t>
        </is>
      </c>
      <c r="C15" s="16" t="n">
        <v>12</v>
      </c>
      <c r="D15" s="17" t="n">
        <v>40</v>
      </c>
      <c r="E15" s="15" t="inlineStr">
        <is>
          <t>192.168.13.10</t>
        </is>
      </c>
      <c r="F15" s="15" t="inlineStr">
        <is>
          <t>Non supervisée</t>
        </is>
      </c>
      <c r="G15" s="14" t="inlineStr">
        <is>
          <t>N/A</t>
        </is>
      </c>
      <c r="H15" s="15" t="inlineStr">
        <is>
          <t>N/A</t>
        </is>
      </c>
      <c r="I15" s="15" t="inlineStr">
        <is>
          <t>N/A</t>
        </is>
      </c>
    </row>
    <row r="16" ht="18" customHeight="1">
      <c r="A16" s="10" t="inlineStr">
        <is>
          <t>SKN010SRVCBSBDD09</t>
        </is>
      </c>
      <c r="B16" s="11" t="inlineStr">
        <is>
          <t>POWERED_ON</t>
        </is>
      </c>
      <c r="C16" s="12" t="n">
        <v>12</v>
      </c>
      <c r="D16" s="13" t="n">
        <v>50</v>
      </c>
      <c r="E16" s="11" t="inlineStr">
        <is>
          <t>192.168.13.9</t>
        </is>
      </c>
      <c r="F16" s="11" t="inlineStr">
        <is>
          <t>Non supervisée</t>
        </is>
      </c>
      <c r="G16" s="10" t="inlineStr">
        <is>
          <t>N/A</t>
        </is>
      </c>
      <c r="H16" s="11" t="inlineStr">
        <is>
          <t>N/A</t>
        </is>
      </c>
      <c r="I16" s="11" t="inlineStr">
        <is>
          <t>N/A</t>
        </is>
      </c>
    </row>
    <row r="17" ht="18" customHeight="1">
      <c r="A17" s="14" t="inlineStr">
        <is>
          <t>SKN010SRVPRODAIFMDL20</t>
        </is>
      </c>
      <c r="B17" s="15" t="inlineStr">
        <is>
          <t>POWERED_ON</t>
        </is>
      </c>
      <c r="C17" s="16" t="n">
        <v>4</v>
      </c>
      <c r="D17" s="17" t="n">
        <v>16</v>
      </c>
      <c r="E17" s="15" t="inlineStr">
        <is>
          <t>192.168.13.20</t>
        </is>
      </c>
      <c r="F17" s="15" t="inlineStr">
        <is>
          <t>Ping ICMP</t>
        </is>
      </c>
      <c r="G17" s="14" t="inlineStr">
        <is>
          <t>SKN010SRVPRODAIFMDL20</t>
        </is>
      </c>
      <c r="H17" s="15" t="inlineStr">
        <is>
          <t>192.168.13.20</t>
        </is>
      </c>
      <c r="I17" s="15" t="inlineStr">
        <is>
          <t>VM Name</t>
        </is>
      </c>
    </row>
    <row r="18" ht="18" customHeight="1">
      <c r="A18" s="10" t="inlineStr">
        <is>
          <t>SKN010SRVSMGPROD10</t>
        </is>
      </c>
      <c r="B18" s="11" t="inlineStr">
        <is>
          <t>POWERED_ON</t>
        </is>
      </c>
      <c r="C18" s="12" t="n">
        <v>5</v>
      </c>
      <c r="D18" s="13" t="n">
        <v>32</v>
      </c>
      <c r="E18" s="11" t="inlineStr">
        <is>
          <t>10.10.10.10</t>
        </is>
      </c>
      <c r="F18" s="11" t="inlineStr">
        <is>
          <t>Non supervisée</t>
        </is>
      </c>
      <c r="G18" s="10" t="inlineStr">
        <is>
          <t>N/A</t>
        </is>
      </c>
      <c r="H18" s="11" t="inlineStr">
        <is>
          <t>N/A</t>
        </is>
      </c>
      <c r="I18" s="11" t="inlineStr">
        <is>
          <t>N/A</t>
        </is>
      </c>
    </row>
    <row r="19" ht="18" customHeight="1">
      <c r="A19" s="14" t="inlineStr">
        <is>
          <t>SKN010SRVSMGPROD10_replica</t>
        </is>
      </c>
      <c r="B19" s="15" t="inlineStr">
        <is>
          <t>POWERED_OFF</t>
        </is>
      </c>
      <c r="C19" s="16" t="n">
        <v>5</v>
      </c>
      <c r="D19" s="17" t="n">
        <v>32</v>
      </c>
      <c r="E19" s="15" t="inlineStr">
        <is>
          <t>N/A</t>
        </is>
      </c>
      <c r="F19" s="15" t="inlineStr">
        <is>
          <t>Non supervisée</t>
        </is>
      </c>
      <c r="G19" s="14" t="inlineStr">
        <is>
          <t>N/A</t>
        </is>
      </c>
      <c r="H19" s="15" t="inlineStr">
        <is>
          <t>N/A</t>
        </is>
      </c>
      <c r="I19" s="15" t="inlineStr">
        <is>
          <t>N/A</t>
        </is>
      </c>
    </row>
    <row r="20" ht="18" customHeight="1">
      <c r="A20" s="10" t="inlineStr">
        <is>
          <t>SKN010SRVTFJO254</t>
        </is>
      </c>
      <c r="B20" s="11" t="inlineStr">
        <is>
          <t>POWERED_ON</t>
        </is>
      </c>
      <c r="C20" s="12" t="n">
        <v>6</v>
      </c>
      <c r="D20" s="13" t="n">
        <v>16</v>
      </c>
      <c r="E20" s="11" t="inlineStr">
        <is>
          <t>N/A</t>
        </is>
      </c>
      <c r="F20" s="11" t="inlineStr">
        <is>
          <t>Agent Zabbix</t>
        </is>
      </c>
      <c r="G20" s="10" t="inlineStr">
        <is>
          <t>SKN010SRVTFJO254</t>
        </is>
      </c>
      <c r="H20" s="11" t="inlineStr">
        <is>
          <t>192.168.201.254</t>
        </is>
      </c>
      <c r="I20" s="11" t="inlineStr">
        <is>
          <t>VM Name</t>
        </is>
      </c>
    </row>
    <row r="21" ht="18" customHeight="1">
      <c r="A21" s="14" t="inlineStr">
        <is>
          <t>SKN010SRVUATSMS33</t>
        </is>
      </c>
      <c r="B21" s="15" t="inlineStr">
        <is>
          <t>POWERED_ON</t>
        </is>
      </c>
      <c r="C21" s="16" t="n">
        <v>1</v>
      </c>
      <c r="D21" s="17" t="n">
        <v>4</v>
      </c>
      <c r="E21" s="15" t="inlineStr">
        <is>
          <t>10.10.10.33</t>
        </is>
      </c>
      <c r="F21" s="15" t="inlineStr">
        <is>
          <t>Non supervisée</t>
        </is>
      </c>
      <c r="G21" s="14" t="inlineStr">
        <is>
          <t>N/A</t>
        </is>
      </c>
      <c r="H21" s="15" t="inlineStr">
        <is>
          <t>N/A</t>
        </is>
      </c>
      <c r="I21" s="15" t="inlineStr">
        <is>
          <t>N/A</t>
        </is>
      </c>
    </row>
    <row r="22" ht="18" customHeight="1">
      <c r="A22" s="10" t="inlineStr">
        <is>
          <t>SKN010SRVUATSMS33SMSCKP_RG</t>
        </is>
      </c>
      <c r="B22" s="11" t="inlineStr">
        <is>
          <t>POWERED_OFF</t>
        </is>
      </c>
      <c r="C22" s="12" t="n">
        <v>1</v>
      </c>
      <c r="D22" s="13" t="n">
        <v>4</v>
      </c>
      <c r="E22" s="11" t="inlineStr">
        <is>
          <t>N/A</t>
        </is>
      </c>
      <c r="F22" s="11" t="inlineStr">
        <is>
          <t>Non supervisée</t>
        </is>
      </c>
      <c r="G22" s="10" t="inlineStr">
        <is>
          <t>N/A</t>
        </is>
      </c>
      <c r="H22" s="11" t="inlineStr">
        <is>
          <t>N/A</t>
        </is>
      </c>
      <c r="I22" s="11" t="inlineStr">
        <is>
          <t>N/A</t>
        </is>
      </c>
    </row>
    <row r="23" ht="18" customHeight="1">
      <c r="A23" s="14" t="inlineStr">
        <is>
          <t>SKN010SRVZABBIX</t>
        </is>
      </c>
      <c r="B23" s="15" t="inlineStr">
        <is>
          <t>POWERED_ON</t>
        </is>
      </c>
      <c r="C23" s="16" t="n">
        <v>4</v>
      </c>
      <c r="D23" s="17" t="n">
        <v>16</v>
      </c>
      <c r="E23" s="15" t="inlineStr">
        <is>
          <t>192.168.200.130</t>
        </is>
      </c>
      <c r="F23" s="15" t="inlineStr">
        <is>
          <t>Agent Zabbix</t>
        </is>
      </c>
      <c r="G23" s="14" t="inlineStr">
        <is>
          <t>Zabbix server</t>
        </is>
      </c>
      <c r="H23" s="15" t="inlineStr">
        <is>
          <t>127.0.0.1</t>
        </is>
      </c>
      <c r="I23" s="15" t="inlineStr">
        <is>
          <t>VM Name (ZABBIX -&gt; Zabbix server)</t>
        </is>
      </c>
    </row>
    <row r="24" ht="18" customHeight="1">
      <c r="A24" s="10" t="inlineStr">
        <is>
          <t>SKN010SRVZABBIX_replica</t>
        </is>
      </c>
      <c r="B24" s="11" t="inlineStr">
        <is>
          <t>POWERED_ON</t>
        </is>
      </c>
      <c r="C24" s="12" t="n">
        <v>4</v>
      </c>
      <c r="D24" s="13" t="n">
        <v>16</v>
      </c>
      <c r="E24" s="11" t="inlineStr">
        <is>
          <t>192.168.200.130</t>
        </is>
      </c>
      <c r="F24" s="11" t="inlineStr">
        <is>
          <t>Agent Zabbix</t>
        </is>
      </c>
      <c r="G24" s="10" t="inlineStr">
        <is>
          <t>Zabbix server</t>
        </is>
      </c>
      <c r="H24" s="11" t="inlineStr">
        <is>
          <t>127.0.0.1</t>
        </is>
      </c>
      <c r="I24" s="11" t="inlineStr">
        <is>
          <t>VM Name (ZABBIX -&gt; Zabbix server)</t>
        </is>
      </c>
    </row>
    <row r="25" ht="18" customHeight="1">
      <c r="A25" s="14" t="inlineStr">
        <is>
          <t>SKN010UATSRVEBKFRONT14</t>
        </is>
      </c>
      <c r="B25" s="15" t="inlineStr">
        <is>
          <t>POWERED_ON</t>
        </is>
      </c>
      <c r="C25" s="16" t="n">
        <v>3</v>
      </c>
      <c r="D25" s="17" t="n">
        <v>10</v>
      </c>
      <c r="E25" s="15" t="inlineStr">
        <is>
          <t>192.168.13.14</t>
        </is>
      </c>
      <c r="F25" s="15" t="inlineStr">
        <is>
          <t>Non supervisée</t>
        </is>
      </c>
      <c r="G25" s="14" t="inlineStr">
        <is>
          <t>N/A</t>
        </is>
      </c>
      <c r="H25" s="15" t="inlineStr">
        <is>
          <t>N/A</t>
        </is>
      </c>
      <c r="I25" s="15" t="inlineStr">
        <is>
          <t>N/A</t>
        </is>
      </c>
    </row>
    <row r="26" ht="18" customHeight="1">
      <c r="A26" s="10" t="inlineStr">
        <is>
          <t>SKN010UATSRVEBKFRONT14_replica</t>
        </is>
      </c>
      <c r="B26" s="11" t="inlineStr">
        <is>
          <t>POWERED_OFF</t>
        </is>
      </c>
      <c r="C26" s="12" t="n">
        <v>3</v>
      </c>
      <c r="D26" s="13" t="n">
        <v>10</v>
      </c>
      <c r="E26" s="11" t="inlineStr">
        <is>
          <t>N/A</t>
        </is>
      </c>
      <c r="F26" s="11" t="inlineStr">
        <is>
          <t>Non supervisée</t>
        </is>
      </c>
      <c r="G26" s="10" t="inlineStr">
        <is>
          <t>N/A</t>
        </is>
      </c>
      <c r="H26" s="11" t="inlineStr">
        <is>
          <t>N/A</t>
        </is>
      </c>
      <c r="I26" s="11" t="inlineStr">
        <is>
          <t>N/A</t>
        </is>
      </c>
    </row>
    <row r="27" ht="18" customHeight="1">
      <c r="A27" s="14" t="inlineStr">
        <is>
          <t>SKN010UATSRVEBKMDL15</t>
        </is>
      </c>
      <c r="B27" s="15" t="inlineStr">
        <is>
          <t>POWERED_ON</t>
        </is>
      </c>
      <c r="C27" s="16" t="n">
        <v>3</v>
      </c>
      <c r="D27" s="17" t="n">
        <v>10</v>
      </c>
      <c r="E27" s="15" t="inlineStr">
        <is>
          <t>192.168.13.15</t>
        </is>
      </c>
      <c r="F27" s="15" t="inlineStr">
        <is>
          <t>Ping ICMP</t>
        </is>
      </c>
      <c r="G27" s="14" t="inlineStr">
        <is>
          <t>SKN010UATSRVEBKMDL15</t>
        </is>
      </c>
      <c r="H27" s="15" t="inlineStr">
        <is>
          <t>192.168.13.15</t>
        </is>
      </c>
      <c r="I27" s="15" t="inlineStr">
        <is>
          <t>VM Name</t>
        </is>
      </c>
    </row>
    <row r="28" ht="18" customHeight="1">
      <c r="A28" s="10" t="inlineStr">
        <is>
          <t>SKN010UATSRVEBKMDL15_replica</t>
        </is>
      </c>
      <c r="B28" s="11" t="inlineStr">
        <is>
          <t>POWERED_OFF</t>
        </is>
      </c>
      <c r="C28" s="12" t="n">
        <v>3</v>
      </c>
      <c r="D28" s="13" t="n">
        <v>10</v>
      </c>
      <c r="E28" s="11" t="inlineStr">
        <is>
          <t>N/A</t>
        </is>
      </c>
      <c r="F28" s="11" t="inlineStr">
        <is>
          <t>Non supervisée</t>
        </is>
      </c>
      <c r="G28" s="10" t="inlineStr">
        <is>
          <t>N/A</t>
        </is>
      </c>
      <c r="H28" s="11" t="inlineStr">
        <is>
          <t>N/A</t>
        </is>
      </c>
      <c r="I28" s="11" t="inlineStr">
        <is>
          <t>N/A</t>
        </is>
      </c>
    </row>
    <row r="29" ht="18" customHeight="1">
      <c r="A29" s="14" t="inlineStr">
        <is>
          <t>SKN01ORACLE19C</t>
        </is>
      </c>
      <c r="B29" s="15" t="inlineStr">
        <is>
          <t>POWERED_OFF</t>
        </is>
      </c>
      <c r="C29" s="16" t="n">
        <v>4</v>
      </c>
      <c r="D29" s="17" t="n">
        <v>15</v>
      </c>
      <c r="E29" s="15" t="inlineStr">
        <is>
          <t>N/A</t>
        </is>
      </c>
      <c r="F29" s="15" t="inlineStr">
        <is>
          <t>Non supervisée</t>
        </is>
      </c>
      <c r="G29" s="14" t="inlineStr">
        <is>
          <t>N/A</t>
        </is>
      </c>
      <c r="H29" s="15" t="inlineStr">
        <is>
          <t>N/A</t>
        </is>
      </c>
      <c r="I29" s="15" t="inlineStr">
        <is>
          <t>N/A</t>
        </is>
      </c>
    </row>
    <row r="30" ht="18" customHeight="1">
      <c r="A30" s="10" t="inlineStr">
        <is>
          <t>SKN01SRVi1K101</t>
        </is>
      </c>
      <c r="B30" s="11" t="inlineStr">
        <is>
          <t>POWERED_OFF</t>
        </is>
      </c>
      <c r="C30" s="12" t="n">
        <v>4</v>
      </c>
      <c r="D30" s="13" t="n">
        <v>16</v>
      </c>
      <c r="E30" s="11" t="inlineStr">
        <is>
          <t>N/A</t>
        </is>
      </c>
      <c r="F30" s="11" t="inlineStr">
        <is>
          <t>Non supervisée</t>
        </is>
      </c>
      <c r="G30" s="10" t="inlineStr">
        <is>
          <t>N/A</t>
        </is>
      </c>
      <c r="H30" s="11" t="inlineStr">
        <is>
          <t>N/A</t>
        </is>
      </c>
      <c r="I30" s="11" t="inlineStr">
        <is>
          <t>N/A</t>
        </is>
      </c>
    </row>
    <row r="31" ht="18" customHeight="1">
      <c r="A31" s="14" t="inlineStr">
        <is>
          <t>SKN01SRVi1K102</t>
        </is>
      </c>
      <c r="B31" s="15" t="inlineStr">
        <is>
          <t>POWERED_OFF</t>
        </is>
      </c>
      <c r="C31" s="16" t="n">
        <v>4</v>
      </c>
      <c r="D31" s="17" t="n">
        <v>25</v>
      </c>
      <c r="E31" s="15" t="inlineStr">
        <is>
          <t>N/A</t>
        </is>
      </c>
      <c r="F31" s="15" t="inlineStr">
        <is>
          <t>Non supervisée</t>
        </is>
      </c>
      <c r="G31" s="14" t="inlineStr">
        <is>
          <t>N/A</t>
        </is>
      </c>
      <c r="H31" s="15" t="inlineStr">
        <is>
          <t>N/A</t>
        </is>
      </c>
      <c r="I31" s="15" t="inlineStr">
        <is>
          <t>N/A</t>
        </is>
      </c>
    </row>
    <row r="32" ht="18" customHeight="1">
      <c r="A32" s="10" t="inlineStr">
        <is>
          <t>SKN01SRVi1K103</t>
        </is>
      </c>
      <c r="B32" s="11" t="inlineStr">
        <is>
          <t>POWERED_OFF</t>
        </is>
      </c>
      <c r="C32" s="12" t="n">
        <v>4</v>
      </c>
      <c r="D32" s="13" t="n">
        <v>25</v>
      </c>
      <c r="E32" s="11" t="inlineStr">
        <is>
          <t>N/A</t>
        </is>
      </c>
      <c r="F32" s="11" t="inlineStr">
        <is>
          <t>Non supervisée</t>
        </is>
      </c>
      <c r="G32" s="10" t="inlineStr">
        <is>
          <t>N/A</t>
        </is>
      </c>
      <c r="H32" s="11" t="inlineStr">
        <is>
          <t>N/A</t>
        </is>
      </c>
      <c r="I32" s="11" t="inlineStr">
        <is>
          <t>N/A</t>
        </is>
      </c>
    </row>
    <row r="33" ht="18" customHeight="1">
      <c r="A33" s="14" t="inlineStr">
        <is>
          <t>SKN01SRViuat1K105</t>
        </is>
      </c>
      <c r="B33" s="15" t="inlineStr">
        <is>
          <t>POWERED_OFF</t>
        </is>
      </c>
      <c r="C33" s="16" t="n">
        <v>4</v>
      </c>
      <c r="D33" s="17" t="n">
        <v>8</v>
      </c>
      <c r="E33" s="15" t="inlineStr">
        <is>
          <t>N/A</t>
        </is>
      </c>
      <c r="F33" s="15" t="inlineStr">
        <is>
          <t>Non supervisée</t>
        </is>
      </c>
      <c r="G33" s="14" t="inlineStr">
        <is>
          <t>N/A</t>
        </is>
      </c>
      <c r="H33" s="15" t="inlineStr">
        <is>
          <t>N/A</t>
        </is>
      </c>
      <c r="I33" s="15" t="inlineStr">
        <is>
          <t>N/A</t>
        </is>
      </c>
    </row>
    <row r="34" ht="18" customHeight="1">
      <c r="A34" s="10" t="inlineStr">
        <is>
          <t>SKN01SRViuatK104</t>
        </is>
      </c>
      <c r="B34" s="11" t="inlineStr">
        <is>
          <t>POWERED_OFF</t>
        </is>
      </c>
      <c r="C34" s="12" t="n">
        <v>4</v>
      </c>
      <c r="D34" s="13" t="n">
        <v>16</v>
      </c>
      <c r="E34" s="11" t="inlineStr">
        <is>
          <t>N/A</t>
        </is>
      </c>
      <c r="F34" s="11" t="inlineStr">
        <is>
          <t>Non supervisée</t>
        </is>
      </c>
      <c r="G34" s="10" t="inlineStr">
        <is>
          <t>N/A</t>
        </is>
      </c>
      <c r="H34" s="11" t="inlineStr">
        <is>
          <t>N/A</t>
        </is>
      </c>
      <c r="I34" s="11" t="inlineStr">
        <is>
          <t>N/A</t>
        </is>
      </c>
    </row>
    <row r="35" ht="18" customHeight="1">
      <c r="A35" s="14" t="inlineStr">
        <is>
          <t>TVKNAPAMPGAS01</t>
        </is>
      </c>
      <c r="B35" s="15" t="inlineStr">
        <is>
          <t>POWERED_ON</t>
        </is>
      </c>
      <c r="C35" s="16" t="n">
        <v>12</v>
      </c>
      <c r="D35" s="17" t="n">
        <v>40</v>
      </c>
      <c r="E35" s="15" t="inlineStr">
        <is>
          <t>192.168.13.202</t>
        </is>
      </c>
      <c r="F35" s="15" t="inlineStr">
        <is>
          <t>Non supervisée</t>
        </is>
      </c>
      <c r="G35" s="14" t="inlineStr">
        <is>
          <t>N/A</t>
        </is>
      </c>
      <c r="H35" s="15" t="inlineStr">
        <is>
          <t>N/A</t>
        </is>
      </c>
      <c r="I35" s="15" t="inlineStr">
        <is>
          <t>N/A</t>
        </is>
      </c>
    </row>
    <row r="36" ht="18" customHeight="1">
      <c r="A36" s="10" t="inlineStr">
        <is>
          <t>TVKNDBAMPORA01</t>
        </is>
      </c>
      <c r="B36" s="11" t="inlineStr">
        <is>
          <t>POWERED_ON</t>
        </is>
      </c>
      <c r="C36" s="12" t="n">
        <v>8</v>
      </c>
      <c r="D36" s="13" t="n">
        <v>48</v>
      </c>
      <c r="E36" s="11" t="inlineStr">
        <is>
          <t>192.168.13.201</t>
        </is>
      </c>
      <c r="F36" s="11" t="inlineStr">
        <is>
          <t>Ping ICMP</t>
        </is>
      </c>
      <c r="G36" s="10" t="inlineStr">
        <is>
          <t>192.168.13.201</t>
        </is>
      </c>
      <c r="H36" s="11" t="inlineStr">
        <is>
          <t>192.168.13.201</t>
        </is>
      </c>
      <c r="I36" s="11" t="inlineStr">
        <is>
          <t>Guest IP (192.168.13.201)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2026-06-29T12:00:28Z</dcterms:created>
  <dcterms:modified xsi:type="dcterms:W3CDTF">2026-06-29T12:00:28Z</dcterms:modified>
</cp:coreProperties>
</file>